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H103" i="1"/>
  <c r="G103"/>
  <c r="G33"/>
  <c r="B34"/>
  <c r="B35"/>
  <c r="F32"/>
  <c r="D32"/>
  <c r="H32"/>
  <c r="C32"/>
  <c r="E102" l="1"/>
  <c r="C102"/>
  <c r="F59"/>
  <c r="F58"/>
  <c r="F57"/>
  <c r="F56"/>
  <c r="F55"/>
  <c r="F54"/>
  <c r="F60" s="1"/>
  <c r="G60" s="1"/>
  <c r="C60"/>
  <c r="G242"/>
  <c r="G241"/>
  <c r="G198"/>
  <c r="G197"/>
  <c r="G196"/>
  <c r="G195"/>
  <c r="F146"/>
  <c r="G146" s="1"/>
  <c r="G147" s="1"/>
  <c r="F147"/>
  <c r="F102"/>
  <c r="H102" s="1"/>
  <c r="D102"/>
  <c r="B97"/>
  <c r="H97" s="1"/>
  <c r="B98" s="1"/>
  <c r="H98" s="1"/>
  <c r="B99" s="1"/>
  <c r="H99" s="1"/>
  <c r="B100" s="1"/>
  <c r="H100" s="1"/>
  <c r="B101" s="1"/>
  <c r="H101" s="1"/>
  <c r="E60"/>
  <c r="D60"/>
  <c r="B61" s="1"/>
  <c r="H26"/>
  <c r="G240"/>
  <c r="G239"/>
  <c r="B62" l="1"/>
  <c r="G54"/>
  <c r="G62"/>
  <c r="G101"/>
  <c r="G100"/>
  <c r="G99"/>
  <c r="G98"/>
  <c r="G97"/>
  <c r="G96"/>
  <c r="G31"/>
  <c r="G30"/>
  <c r="G28"/>
  <c r="G29"/>
  <c r="G27"/>
  <c r="G26"/>
  <c r="G53"/>
  <c r="H25"/>
  <c r="G32" l="1"/>
  <c r="G102"/>
  <c r="B27"/>
  <c r="H27" s="1"/>
  <c r="B28" s="1"/>
  <c r="B55"/>
  <c r="G55" s="1"/>
  <c r="B104" l="1"/>
  <c r="H105" s="1"/>
  <c r="B105"/>
  <c r="H28"/>
  <c r="B29" s="1"/>
  <c r="B56"/>
  <c r="G56" s="1"/>
  <c r="H35" l="1"/>
  <c r="H29"/>
  <c r="B30" s="1"/>
  <c r="H30" l="1"/>
  <c r="B31" s="1"/>
  <c r="H31" s="1"/>
  <c r="B57"/>
  <c r="G57" s="1"/>
  <c r="B58" s="1"/>
  <c r="G58" l="1"/>
  <c r="B59" s="1"/>
  <c r="G59" l="1"/>
  <c r="H33"/>
</calcChain>
</file>

<file path=xl/sharedStrings.xml><?xml version="1.0" encoding="utf-8"?>
<sst xmlns="http://schemas.openxmlformats.org/spreadsheetml/2006/main" count="130" uniqueCount="59">
  <si>
    <t>Given three credit card scenarios, find the following:</t>
  </si>
  <si>
    <t>1) Total remaining debt</t>
  </si>
  <si>
    <t>2) Total debt paydown</t>
  </si>
  <si>
    <t>3) Total payments</t>
  </si>
  <si>
    <t>4) The percent of total payments that went to debt paydown</t>
  </si>
  <si>
    <t>When finished, state which scenario is best for the debtor?</t>
  </si>
  <si>
    <t>For each scenario, take the totals after six months. All bills will arrive</t>
  </si>
  <si>
    <t>once a month. Start all  with an initial debt of 1000 dollars.</t>
  </si>
  <si>
    <t>paydown. Make only the minimum payment.</t>
  </si>
  <si>
    <r>
      <rPr>
        <b/>
        <sz val="14"/>
        <color theme="1"/>
        <rFont val="Times New Roman"/>
        <family val="1"/>
      </rPr>
      <t>Scenario one:</t>
    </r>
    <r>
      <rPr>
        <sz val="14"/>
        <color theme="1"/>
        <rFont val="Times New Roman"/>
        <family val="1"/>
      </rPr>
      <t xml:space="preserve"> Interest rate of 12% annually (1% a month) and 2% principle</t>
    </r>
  </si>
  <si>
    <t>Months</t>
  </si>
  <si>
    <t>Debt</t>
  </si>
  <si>
    <t>Interest</t>
  </si>
  <si>
    <t>Paydown</t>
  </si>
  <si>
    <t>Payment</t>
  </si>
  <si>
    <t>Month(0)</t>
  </si>
  <si>
    <t>Month(1)</t>
  </si>
  <si>
    <t>Month(2)</t>
  </si>
  <si>
    <t>Month(3)</t>
  </si>
  <si>
    <t>Month(4)</t>
  </si>
  <si>
    <t>Month(5)</t>
  </si>
  <si>
    <t>Total</t>
  </si>
  <si>
    <t>Principal</t>
  </si>
  <si>
    <t xml:space="preserve">Percent </t>
  </si>
  <si>
    <t>Percent</t>
  </si>
  <si>
    <t>payment every month.</t>
  </si>
  <si>
    <r>
      <t xml:space="preserve">     </t>
    </r>
    <r>
      <rPr>
        <b/>
        <sz val="14"/>
        <color theme="1"/>
        <rFont val="Times New Roman"/>
        <family val="1"/>
      </rPr>
      <t xml:space="preserve">Scenario two:    </t>
    </r>
    <r>
      <rPr>
        <sz val="14"/>
        <color theme="1"/>
        <rFont val="Times New Roman"/>
        <family val="1"/>
      </rPr>
      <t>Interest rate of 12% annually (1% a month). Make a 50 dollar</t>
    </r>
  </si>
  <si>
    <t>Remaining</t>
  </si>
  <si>
    <t>2) Total debt paydown:</t>
  </si>
  <si>
    <t>3) Total payments:</t>
  </si>
  <si>
    <t>4) The percent of total payments that went to debt paydown:</t>
  </si>
  <si>
    <t xml:space="preserve">1) Total remaining debt: </t>
  </si>
  <si>
    <t>You buy a 1000 par bond with a 5% annual rate of return that matures in five</t>
  </si>
  <si>
    <t>years. The bond has monthly interest payout. How much will you get every</t>
  </si>
  <si>
    <t>month? How much will you recieve total by the end of five years?</t>
  </si>
  <si>
    <t>Monthly</t>
  </si>
  <si>
    <t>5 years</t>
  </si>
  <si>
    <t>Time</t>
  </si>
  <si>
    <t>Rate</t>
  </si>
  <si>
    <t>Compounded</t>
  </si>
  <si>
    <t>How much would you have to put away monthly to be able to retire?</t>
  </si>
  <si>
    <t>2) Decide an a nest egg amount (between 3 and 5 million)</t>
  </si>
  <si>
    <t>3) Do this for 3%, 6%, 9%, and 12% rates of return.</t>
  </si>
  <si>
    <t>Remember! Your savings will be compounding monthly.</t>
  </si>
  <si>
    <t>1) Figure the number of years you plan to work. (Retirement age - current age)</t>
  </si>
  <si>
    <t>How much will you have if you put 1000 dollars into an account at 5%</t>
  </si>
  <si>
    <t>compounded monthly after 10 years? 20 years?</t>
  </si>
  <si>
    <t>What if you get a 6% rate of return?</t>
  </si>
  <si>
    <t>Amount</t>
  </si>
  <si>
    <t>Minimum</t>
  </si>
  <si>
    <t>Minimun</t>
  </si>
  <si>
    <t xml:space="preserve">Rate </t>
  </si>
  <si>
    <t>Payout</t>
  </si>
  <si>
    <r>
      <t xml:space="preserve">  </t>
    </r>
    <r>
      <rPr>
        <b/>
        <sz val="14"/>
        <color theme="1"/>
        <rFont val="Times New Roman"/>
        <family val="1"/>
      </rPr>
      <t>Scenario three:</t>
    </r>
    <r>
      <rPr>
        <sz val="14"/>
        <color theme="1"/>
        <rFont val="Times New Roman"/>
        <family val="1"/>
      </rPr>
      <t xml:space="preserve">       Interst rate of 24% annually (2% a month), and 2% principal</t>
    </r>
  </si>
  <si>
    <t>% to Interest =</t>
  </si>
  <si>
    <t>% to PPaydown =</t>
  </si>
  <si>
    <t xml:space="preserve">Total </t>
  </si>
  <si>
    <t>Total % to (I + PP)=</t>
  </si>
  <si>
    <t>Total Payment</t>
  </si>
</sst>
</file>

<file path=xl/styles.xml><?xml version="1.0" encoding="utf-8"?>
<styleSheet xmlns="http://schemas.openxmlformats.org/spreadsheetml/2006/main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0.0000%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8"/>
      <color theme="1"/>
      <name val="Times New Roman"/>
      <family val="1"/>
    </font>
    <font>
      <sz val="14"/>
      <color theme="1"/>
      <name val="Times New Roman"/>
      <family val="1"/>
    </font>
    <font>
      <sz val="10"/>
      <color theme="1"/>
      <name val="Arial Unicode MS"/>
      <family val="2"/>
    </font>
    <font>
      <b/>
      <sz val="14"/>
      <color theme="1"/>
      <name val="Times New Roman"/>
      <family val="1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9" fillId="2" borderId="2" applyNumberFormat="0" applyAlignment="0" applyProtection="0"/>
    <xf numFmtId="44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5" fillId="0" borderId="0" xfId="0" applyFont="1"/>
    <xf numFmtId="0" fontId="7" fillId="0" borderId="0" xfId="0" applyFont="1" applyAlignment="1">
      <alignment horizontal="left"/>
    </xf>
    <xf numFmtId="0" fontId="6" fillId="0" borderId="0" xfId="0" applyFont="1"/>
    <xf numFmtId="0" fontId="2" fillId="0" borderId="1" xfId="2" applyAlignment="1">
      <alignment horizontal="center"/>
    </xf>
    <xf numFmtId="0" fontId="2" fillId="2" borderId="1" xfId="2" applyFill="1" applyAlignment="1">
      <alignment horizontal="center"/>
    </xf>
    <xf numFmtId="164" fontId="2" fillId="0" borderId="1" xfId="2" applyNumberFormat="1" applyAlignment="1">
      <alignment horizontal="center"/>
    </xf>
    <xf numFmtId="164" fontId="1" fillId="0" borderId="1" xfId="2" applyNumberFormat="1" applyFont="1" applyAlignment="1">
      <alignment horizontal="center"/>
    </xf>
    <xf numFmtId="9" fontId="1" fillId="0" borderId="1" xfId="2" applyNumberFormat="1" applyFont="1" applyAlignment="1">
      <alignment horizontal="center"/>
    </xf>
    <xf numFmtId="164" fontId="1" fillId="0" borderId="1" xfId="2" applyNumberFormat="1" applyFont="1" applyFill="1" applyAlignment="1">
      <alignment horizont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/>
    <xf numFmtId="0" fontId="7" fillId="0" borderId="0" xfId="0" applyFont="1" applyAlignment="1"/>
    <xf numFmtId="0" fontId="7" fillId="0" borderId="0" xfId="0" applyFont="1"/>
    <xf numFmtId="0" fontId="2" fillId="0" borderId="0" xfId="2" applyNumberFormat="1" applyFont="1" applyFill="1" applyBorder="1" applyAlignment="1">
      <alignment horizontal="center"/>
    </xf>
    <xf numFmtId="0" fontId="2" fillId="0" borderId="0" xfId="0" applyNumberFormat="1" applyFont="1" applyAlignment="1">
      <alignment horizontal="center"/>
    </xf>
    <xf numFmtId="8" fontId="2" fillId="0" borderId="1" xfId="2" applyNumberFormat="1" applyAlignment="1">
      <alignment horizontal="center"/>
    </xf>
    <xf numFmtId="0" fontId="2" fillId="0" borderId="1" xfId="2"/>
    <xf numFmtId="0" fontId="4" fillId="0" borderId="0" xfId="0" applyFont="1" applyAlignment="1"/>
    <xf numFmtId="0" fontId="3" fillId="0" borderId="0" xfId="0" applyFont="1" applyAlignment="1"/>
    <xf numFmtId="164" fontId="0" fillId="0" borderId="0" xfId="0" applyNumberFormat="1"/>
    <xf numFmtId="0" fontId="8" fillId="2" borderId="2" xfId="3" applyFont="1"/>
    <xf numFmtId="0" fontId="8" fillId="2" borderId="2" xfId="3" applyFont="1" applyAlignment="1">
      <alignment horizontal="center"/>
    </xf>
    <xf numFmtId="0" fontId="10" fillId="0" borderId="0" xfId="0" applyFont="1"/>
    <xf numFmtId="9" fontId="8" fillId="2" borderId="2" xfId="3" applyNumberFormat="1" applyFont="1"/>
    <xf numFmtId="0" fontId="1" fillId="0" borderId="1" xfId="2" applyFont="1" applyAlignment="1">
      <alignment horizontal="center"/>
    </xf>
    <xf numFmtId="0" fontId="2" fillId="2" borderId="2" xfId="3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/>
    <xf numFmtId="0" fontId="10" fillId="0" borderId="0" xfId="0" applyFont="1" applyAlignment="1">
      <alignment horizontal="left"/>
    </xf>
    <xf numFmtId="3" fontId="1" fillId="0" borderId="1" xfId="2" applyNumberFormat="1" applyFont="1" applyAlignment="1">
      <alignment horizontal="center"/>
    </xf>
    <xf numFmtId="0" fontId="1" fillId="0" borderId="1" xfId="2" applyNumberFormat="1" applyFont="1" applyAlignment="1">
      <alignment horizontal="center"/>
    </xf>
    <xf numFmtId="0" fontId="12" fillId="2" borderId="1" xfId="2" applyFont="1" applyFill="1" applyAlignment="1">
      <alignment horizontal="center"/>
    </xf>
    <xf numFmtId="0" fontId="13" fillId="2" borderId="2" xfId="3" applyFont="1" applyAlignment="1">
      <alignment horizontal="center"/>
    </xf>
    <xf numFmtId="0" fontId="12" fillId="0" borderId="1" xfId="2" applyFont="1" applyAlignment="1">
      <alignment horizontal="center"/>
    </xf>
    <xf numFmtId="0" fontId="12" fillId="0" borderId="1" xfId="2" applyFont="1"/>
    <xf numFmtId="164" fontId="14" fillId="0" borderId="1" xfId="2" applyNumberFormat="1" applyFont="1" applyAlignment="1">
      <alignment horizontal="center"/>
    </xf>
    <xf numFmtId="9" fontId="14" fillId="0" borderId="1" xfId="2" applyNumberFormat="1" applyFont="1" applyAlignment="1">
      <alignment horizontal="center"/>
    </xf>
    <xf numFmtId="164" fontId="14" fillId="0" borderId="1" xfId="2" applyNumberFormat="1" applyFont="1" applyFill="1" applyAlignment="1">
      <alignment horizontal="center"/>
    </xf>
    <xf numFmtId="164" fontId="12" fillId="0" borderId="1" xfId="2" applyNumberFormat="1" applyFont="1" applyAlignment="1">
      <alignment horizontal="center"/>
    </xf>
    <xf numFmtId="164" fontId="12" fillId="2" borderId="1" xfId="2" applyNumberFormat="1" applyFont="1" applyFill="1" applyAlignment="1">
      <alignment horizontal="center"/>
    </xf>
    <xf numFmtId="0" fontId="14" fillId="0" borderId="1" xfId="2" applyNumberFormat="1" applyFont="1" applyAlignment="1">
      <alignment horizontal="center"/>
    </xf>
    <xf numFmtId="9" fontId="2" fillId="0" borderId="1" xfId="2" applyNumberFormat="1" applyAlignment="1">
      <alignment horizontal="center"/>
    </xf>
    <xf numFmtId="165" fontId="14" fillId="0" borderId="1" xfId="2" applyNumberFormat="1" applyFont="1" applyAlignment="1">
      <alignment horizontal="center"/>
    </xf>
    <xf numFmtId="9" fontId="8" fillId="2" borderId="2" xfId="3" applyNumberFormat="1" applyFont="1" applyAlignment="1">
      <alignment horizontal="center"/>
    </xf>
    <xf numFmtId="0" fontId="2" fillId="0" borderId="1" xfId="2" applyFill="1" applyAlignment="1">
      <alignment horizontal="left"/>
    </xf>
    <xf numFmtId="164" fontId="2" fillId="0" borderId="1" xfId="2" applyNumberFormat="1" applyFill="1" applyAlignment="1">
      <alignment horizontal="center"/>
    </xf>
    <xf numFmtId="44" fontId="2" fillId="0" borderId="1" xfId="2" applyNumberFormat="1" applyFill="1" applyAlignment="1">
      <alignment horizontal="center"/>
    </xf>
    <xf numFmtId="0" fontId="2" fillId="0" borderId="1" xfId="2" applyNumberFormat="1" applyFill="1" applyAlignment="1"/>
    <xf numFmtId="4" fontId="1" fillId="0" borderId="1" xfId="2" applyNumberFormat="1" applyFont="1" applyAlignment="1">
      <alignment horizontal="center"/>
    </xf>
    <xf numFmtId="164" fontId="2" fillId="2" borderId="1" xfId="2" applyNumberFormat="1" applyFill="1" applyAlignment="1"/>
    <xf numFmtId="164" fontId="2" fillId="2" borderId="1" xfId="2" applyNumberFormat="1" applyFill="1" applyAlignment="1">
      <alignment horizontal="center"/>
    </xf>
    <xf numFmtId="164" fontId="2" fillId="0" borderId="1" xfId="2" applyNumberFormat="1" applyAlignment="1"/>
    <xf numFmtId="9" fontId="2" fillId="0" borderId="1" xfId="2" applyNumberFormat="1" applyAlignment="1"/>
    <xf numFmtId="0" fontId="2" fillId="0" borderId="1" xfId="2" applyNumberFormat="1" applyFill="1" applyAlignment="1">
      <alignment horizontal="center"/>
    </xf>
    <xf numFmtId="164" fontId="11" fillId="0" borderId="0" xfId="4" applyNumberFormat="1" applyFont="1" applyAlignment="1">
      <alignment horizontal="center"/>
    </xf>
    <xf numFmtId="164" fontId="11" fillId="0" borderId="0" xfId="4" applyNumberFormat="1" applyFont="1"/>
    <xf numFmtId="9" fontId="2" fillId="0" borderId="1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9" fontId="1" fillId="0" borderId="1" xfId="1" applyFont="1" applyBorder="1" applyAlignment="1">
      <alignment horizontal="center"/>
    </xf>
    <xf numFmtId="164" fontId="11" fillId="0" borderId="0" xfId="0" applyNumberFormat="1" applyFont="1" applyAlignment="1">
      <alignment horizontal="center"/>
    </xf>
    <xf numFmtId="9" fontId="11" fillId="0" borderId="0" xfId="1" applyFont="1" applyAlignment="1">
      <alignment horizontal="center"/>
    </xf>
    <xf numFmtId="164" fontId="12" fillId="0" borderId="1" xfId="2" applyNumberFormat="1" applyFont="1" applyFill="1" applyAlignment="1">
      <alignment horizontal="center"/>
    </xf>
    <xf numFmtId="8" fontId="2" fillId="0" borderId="1" xfId="2" applyNumberFormat="1" applyFont="1" applyAlignment="1">
      <alignment horizontal="center"/>
    </xf>
    <xf numFmtId="0" fontId="2" fillId="0" borderId="1" xfId="2" applyNumberFormat="1" applyFill="1" applyAlignment="1">
      <alignment horizontal="left" indent="2"/>
    </xf>
    <xf numFmtId="0" fontId="2" fillId="0" borderId="1" xfId="2" applyNumberFormat="1" applyFill="1" applyAlignment="1">
      <alignment horizontal="left" indent="4"/>
    </xf>
    <xf numFmtId="9" fontId="2" fillId="0" borderId="1" xfId="1" applyFont="1" applyBorder="1" applyAlignment="1">
      <alignment horizontal="center"/>
    </xf>
    <xf numFmtId="9" fontId="11" fillId="0" borderId="0" xfId="1" applyNumberFormat="1" applyFont="1" applyAlignment="1">
      <alignment horizontal="center"/>
    </xf>
    <xf numFmtId="8" fontId="0" fillId="0" borderId="0" xfId="0" applyNumberFormat="1"/>
  </cellXfs>
  <cellStyles count="5">
    <cellStyle name="Check Cell" xfId="3" builtinId="23"/>
    <cellStyle name="Currency" xfId="4" builtinId="4"/>
    <cellStyle name="Normal" xfId="0" builtinId="0"/>
    <cellStyle name="Percent" xfId="1" builtinId="5"/>
    <cellStyle name="Total" xfId="2" builtinId="2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107259</xdr:colOff>
      <xdr:row>130</xdr:row>
      <xdr:rowOff>26961</xdr:rowOff>
    </xdr:from>
    <xdr:ext cx="3639840" cy="1036053"/>
    <xdr:sp macro="" textlink="">
      <xdr:nvSpPr>
        <xdr:cNvPr id="2" name="Rectangle 1"/>
        <xdr:cNvSpPr/>
      </xdr:nvSpPr>
      <xdr:spPr>
        <a:xfrm>
          <a:off x="1607896" y="26696961"/>
          <a:ext cx="3639840" cy="1036053"/>
        </a:xfrm>
        <a:prstGeom prst="rect">
          <a:avLst/>
        </a:prstGeom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ajor"/>
      </xdr:style>
      <xdr:txBody>
        <a:bodyPr wrap="square" lIns="91440" tIns="45720" rIns="91440" bIns="45720">
          <a:spAutoFit/>
        </a:bodyPr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Second</a:t>
          </a:r>
          <a:r>
            <a:rPr lang="en-US" sz="3200" b="1" cap="none" spc="0" baseline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 Part</a:t>
          </a:r>
        </a:p>
        <a:p>
          <a:pPr algn="ctr"/>
          <a:r>
            <a:rPr lang="en-US" sz="3200" b="1" cap="none" spc="0" baseline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II</a:t>
          </a:r>
          <a:endParaRPr lang="en-US" sz="3200" b="1" cap="none" spc="0">
            <a:ln w="17780" cmpd="sng">
              <a:solidFill>
                <a:srgbClr val="FFFFFF"/>
              </a:solidFill>
              <a:prstDash val="solid"/>
              <a:miter lim="800000"/>
            </a:ln>
            <a:gradFill rotWithShape="1">
              <a:gsLst>
                <a:gs pos="0">
                  <a:srgbClr val="000000">
                    <a:tint val="92000"/>
                    <a:shade val="100000"/>
                    <a:satMod val="150000"/>
                  </a:srgbClr>
                </a:gs>
                <a:gs pos="49000">
                  <a:srgbClr val="000000">
                    <a:tint val="89000"/>
                    <a:shade val="90000"/>
                    <a:satMod val="150000"/>
                  </a:srgbClr>
                </a:gs>
                <a:gs pos="50000">
                  <a:srgbClr val="000000">
                    <a:tint val="100000"/>
                    <a:shade val="75000"/>
                    <a:satMod val="150000"/>
                  </a:srgbClr>
                </a:gs>
                <a:gs pos="95000">
                  <a:srgbClr val="000000">
                    <a:shade val="47000"/>
                    <a:satMod val="150000"/>
                  </a:srgbClr>
                </a:gs>
                <a:gs pos="100000">
                  <a:srgbClr val="000000">
                    <a:shade val="39000"/>
                    <a:satMod val="150000"/>
                  </a:srgbClr>
                </a:gs>
              </a:gsLst>
              <a:lin ang="5400000"/>
            </a:gradFill>
            <a:effectLst>
              <a:outerShdw blurRad="50800" algn="tl" rotWithShape="0">
                <a:srgbClr val="000000"/>
              </a:outerShdw>
            </a:effectLst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oneCellAnchor>
    <xdr:from>
      <xdr:col>1</xdr:col>
      <xdr:colOff>476242</xdr:colOff>
      <xdr:row>0</xdr:row>
      <xdr:rowOff>44930</xdr:rowOff>
    </xdr:from>
    <xdr:ext cx="3639840" cy="1036053"/>
    <xdr:sp macro="" textlink="">
      <xdr:nvSpPr>
        <xdr:cNvPr id="3" name="Rectangle 2"/>
        <xdr:cNvSpPr/>
      </xdr:nvSpPr>
      <xdr:spPr>
        <a:xfrm>
          <a:off x="1626431" y="44930"/>
          <a:ext cx="3639840" cy="1036053"/>
        </a:xfrm>
        <a:prstGeom prst="rect">
          <a:avLst/>
        </a:prstGeom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ajor"/>
      </xdr:style>
      <xdr:txBody>
        <a:bodyPr wrap="square" lIns="91440" tIns="45720" rIns="91440" bIns="45720">
          <a:spAutoFit/>
        </a:bodyPr>
        <a:lstStyle/>
        <a:p>
          <a:pPr algn="ctr"/>
          <a:r>
            <a:rPr lang="en-US" sz="3200" b="1" cap="none" spc="0" baseline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First Part</a:t>
          </a:r>
        </a:p>
        <a:p>
          <a:pPr algn="ctr"/>
          <a:r>
            <a:rPr lang="en-US" sz="3200" b="1" cap="none" spc="0" baseline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I</a:t>
          </a:r>
          <a:endParaRPr lang="en-US" sz="3200" b="1" cap="none" spc="0">
            <a:ln w="17780" cmpd="sng">
              <a:solidFill>
                <a:srgbClr val="FFFFFF"/>
              </a:solidFill>
              <a:prstDash val="solid"/>
              <a:miter lim="800000"/>
            </a:ln>
            <a:gradFill rotWithShape="1">
              <a:gsLst>
                <a:gs pos="0">
                  <a:srgbClr val="000000">
                    <a:tint val="92000"/>
                    <a:shade val="100000"/>
                    <a:satMod val="150000"/>
                  </a:srgbClr>
                </a:gs>
                <a:gs pos="49000">
                  <a:srgbClr val="000000">
                    <a:tint val="89000"/>
                    <a:shade val="90000"/>
                    <a:satMod val="150000"/>
                  </a:srgbClr>
                </a:gs>
                <a:gs pos="50000">
                  <a:srgbClr val="000000">
                    <a:tint val="100000"/>
                    <a:shade val="75000"/>
                    <a:satMod val="150000"/>
                  </a:srgbClr>
                </a:gs>
                <a:gs pos="95000">
                  <a:srgbClr val="000000">
                    <a:shade val="47000"/>
                    <a:satMod val="150000"/>
                  </a:srgbClr>
                </a:gs>
                <a:gs pos="100000">
                  <a:srgbClr val="000000">
                    <a:shade val="39000"/>
                    <a:satMod val="150000"/>
                  </a:srgbClr>
                </a:gs>
              </a:gsLst>
              <a:lin ang="5400000"/>
            </a:gradFill>
            <a:effectLst>
              <a:outerShdw blurRad="50800" algn="tl" rotWithShape="0">
                <a:srgbClr val="000000"/>
              </a:outerShdw>
            </a:effectLst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oneCellAnchor>
    <xdr:from>
      <xdr:col>1</xdr:col>
      <xdr:colOff>521163</xdr:colOff>
      <xdr:row>176</xdr:row>
      <xdr:rowOff>44929</xdr:rowOff>
    </xdr:from>
    <xdr:ext cx="3639840" cy="1036053"/>
    <xdr:sp macro="" textlink="">
      <xdr:nvSpPr>
        <xdr:cNvPr id="4" name="Rectangle 3"/>
        <xdr:cNvSpPr/>
      </xdr:nvSpPr>
      <xdr:spPr>
        <a:xfrm>
          <a:off x="1240031" y="35718750"/>
          <a:ext cx="3639840" cy="1036053"/>
        </a:xfrm>
        <a:prstGeom prst="rect">
          <a:avLst/>
        </a:prstGeom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ajor"/>
      </xdr:style>
      <xdr:txBody>
        <a:bodyPr wrap="square" lIns="91440" tIns="45720" rIns="91440" bIns="45720">
          <a:spAutoFit/>
        </a:bodyPr>
        <a:lstStyle/>
        <a:p>
          <a:pPr algn="ctr"/>
          <a:r>
            <a:rPr lang="en-US" sz="3200" b="1" cap="none" spc="0" baseline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Fourth Part</a:t>
          </a:r>
        </a:p>
        <a:p>
          <a:pPr algn="ctr"/>
          <a:r>
            <a:rPr lang="en-US" sz="3200" b="1" cap="none" spc="0" baseline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IV</a:t>
          </a:r>
          <a:endParaRPr lang="en-US" sz="3200" b="1" cap="none" spc="0">
            <a:ln w="17780" cmpd="sng">
              <a:solidFill>
                <a:srgbClr val="FFFFFF"/>
              </a:solidFill>
              <a:prstDash val="solid"/>
              <a:miter lim="800000"/>
            </a:ln>
            <a:gradFill rotWithShape="1">
              <a:gsLst>
                <a:gs pos="0">
                  <a:srgbClr val="000000">
                    <a:tint val="92000"/>
                    <a:shade val="100000"/>
                    <a:satMod val="150000"/>
                  </a:srgbClr>
                </a:gs>
                <a:gs pos="49000">
                  <a:srgbClr val="000000">
                    <a:tint val="89000"/>
                    <a:shade val="90000"/>
                    <a:satMod val="150000"/>
                  </a:srgbClr>
                </a:gs>
                <a:gs pos="50000">
                  <a:srgbClr val="000000">
                    <a:tint val="100000"/>
                    <a:shade val="75000"/>
                    <a:satMod val="150000"/>
                  </a:srgbClr>
                </a:gs>
                <a:gs pos="95000">
                  <a:srgbClr val="000000">
                    <a:shade val="47000"/>
                    <a:satMod val="150000"/>
                  </a:srgbClr>
                </a:gs>
                <a:gs pos="100000">
                  <a:srgbClr val="000000">
                    <a:shade val="39000"/>
                    <a:satMod val="150000"/>
                  </a:srgbClr>
                </a:gs>
              </a:gsLst>
              <a:lin ang="5400000"/>
            </a:gradFill>
            <a:effectLst>
              <a:outerShdw blurRad="50800" algn="tl" rotWithShape="0">
                <a:srgbClr val="000000"/>
              </a:outerShdw>
            </a:effectLst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oneCellAnchor>
    <xdr:from>
      <xdr:col>1</xdr:col>
      <xdr:colOff>502626</xdr:colOff>
      <xdr:row>130</xdr:row>
      <xdr:rowOff>53919</xdr:rowOff>
    </xdr:from>
    <xdr:ext cx="3639840" cy="1036053"/>
    <xdr:sp macro="" textlink="">
      <xdr:nvSpPr>
        <xdr:cNvPr id="5" name="Rectangle 4"/>
        <xdr:cNvSpPr/>
      </xdr:nvSpPr>
      <xdr:spPr>
        <a:xfrm>
          <a:off x="1221494" y="26777834"/>
          <a:ext cx="3639840" cy="1036053"/>
        </a:xfrm>
        <a:prstGeom prst="rect">
          <a:avLst/>
        </a:prstGeom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ajor"/>
      </xdr:style>
      <xdr:txBody>
        <a:bodyPr wrap="square" lIns="91440" tIns="45720" rIns="91440" bIns="45720">
          <a:spAutoFit/>
        </a:bodyPr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Second</a:t>
          </a:r>
          <a:r>
            <a:rPr lang="en-US" sz="3200" b="1" cap="none" spc="0" baseline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 Part</a:t>
          </a:r>
        </a:p>
        <a:p>
          <a:pPr algn="ctr"/>
          <a:r>
            <a:rPr lang="en-US" sz="3200" b="1" cap="none" spc="0" baseline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II</a:t>
          </a:r>
          <a:endParaRPr lang="en-US" sz="3200" b="1" cap="none" spc="0">
            <a:ln w="17780" cmpd="sng">
              <a:solidFill>
                <a:srgbClr val="FFFFFF"/>
              </a:solidFill>
              <a:prstDash val="solid"/>
              <a:miter lim="800000"/>
            </a:ln>
            <a:gradFill rotWithShape="1">
              <a:gsLst>
                <a:gs pos="0">
                  <a:srgbClr val="000000">
                    <a:tint val="92000"/>
                    <a:shade val="100000"/>
                    <a:satMod val="150000"/>
                  </a:srgbClr>
                </a:gs>
                <a:gs pos="49000">
                  <a:srgbClr val="000000">
                    <a:tint val="89000"/>
                    <a:shade val="90000"/>
                    <a:satMod val="150000"/>
                  </a:srgbClr>
                </a:gs>
                <a:gs pos="50000">
                  <a:srgbClr val="000000">
                    <a:tint val="100000"/>
                    <a:shade val="75000"/>
                    <a:satMod val="150000"/>
                  </a:srgbClr>
                </a:gs>
                <a:gs pos="95000">
                  <a:srgbClr val="000000">
                    <a:shade val="47000"/>
                    <a:satMod val="150000"/>
                  </a:srgbClr>
                </a:gs>
                <a:gs pos="100000">
                  <a:srgbClr val="000000">
                    <a:shade val="39000"/>
                    <a:satMod val="150000"/>
                  </a:srgbClr>
                </a:gs>
              </a:gsLst>
              <a:lin ang="5400000"/>
            </a:gradFill>
            <a:effectLst>
              <a:outerShdw blurRad="50800" algn="tl" rotWithShape="0">
                <a:srgbClr val="000000"/>
              </a:outerShdw>
            </a:effectLst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oneCellAnchor>
    <xdr:from>
      <xdr:col>1</xdr:col>
      <xdr:colOff>512186</xdr:colOff>
      <xdr:row>222</xdr:row>
      <xdr:rowOff>98851</xdr:rowOff>
    </xdr:from>
    <xdr:ext cx="3639840" cy="1036053"/>
    <xdr:sp macro="" textlink="">
      <xdr:nvSpPr>
        <xdr:cNvPr id="6" name="Rectangle 5"/>
        <xdr:cNvSpPr/>
      </xdr:nvSpPr>
      <xdr:spPr>
        <a:xfrm>
          <a:off x="1231054" y="44650691"/>
          <a:ext cx="3639840" cy="1036053"/>
        </a:xfrm>
        <a:prstGeom prst="rect">
          <a:avLst/>
        </a:prstGeom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ajor"/>
      </xdr:style>
      <xdr:txBody>
        <a:bodyPr wrap="square" lIns="91440" tIns="45720" rIns="91440" bIns="45720">
          <a:spAutoFit/>
        </a:bodyPr>
        <a:lstStyle/>
        <a:p>
          <a:pPr algn="ctr"/>
          <a:r>
            <a:rPr lang="en-US" sz="3200" b="1" cap="none" spc="0" baseline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Third Part</a:t>
          </a:r>
        </a:p>
        <a:p>
          <a:pPr algn="ctr"/>
          <a:r>
            <a:rPr lang="en-US" sz="3200" b="1" cap="none" spc="0" baseline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III</a:t>
          </a:r>
          <a:endParaRPr lang="en-US" sz="3200" b="1" cap="none" spc="0">
            <a:ln w="17780" cmpd="sng">
              <a:solidFill>
                <a:srgbClr val="FFFFFF"/>
              </a:solidFill>
              <a:prstDash val="solid"/>
              <a:miter lim="800000"/>
            </a:ln>
            <a:gradFill rotWithShape="1">
              <a:gsLst>
                <a:gs pos="0">
                  <a:srgbClr val="000000">
                    <a:tint val="92000"/>
                    <a:shade val="100000"/>
                    <a:satMod val="150000"/>
                  </a:srgbClr>
                </a:gs>
                <a:gs pos="49000">
                  <a:srgbClr val="000000">
                    <a:tint val="89000"/>
                    <a:shade val="90000"/>
                    <a:satMod val="150000"/>
                  </a:srgbClr>
                </a:gs>
                <a:gs pos="50000">
                  <a:srgbClr val="000000">
                    <a:tint val="100000"/>
                    <a:shade val="75000"/>
                    <a:satMod val="150000"/>
                  </a:srgbClr>
                </a:gs>
                <a:gs pos="95000">
                  <a:srgbClr val="000000">
                    <a:shade val="47000"/>
                    <a:satMod val="150000"/>
                  </a:srgbClr>
                </a:gs>
                <a:gs pos="100000">
                  <a:srgbClr val="000000">
                    <a:shade val="39000"/>
                    <a:satMod val="150000"/>
                  </a:srgbClr>
                </a:gs>
              </a:gsLst>
              <a:lin ang="5400000"/>
            </a:gradFill>
            <a:effectLst>
              <a:outerShdw blurRad="50800" algn="tl" rotWithShape="0">
                <a:srgbClr val="000000"/>
              </a:outerShdw>
            </a:effectLst>
            <a:latin typeface="Times New Roman" pitchFamily="18" charset="0"/>
            <a:cs typeface="Times New Roman" pitchFamily="18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43"/>
  <sheetViews>
    <sheetView tabSelected="1" view="pageLayout" topLeftCell="A29" zoomScale="106" zoomScalePageLayoutView="106" workbookViewId="0">
      <selection activeCell="G33" sqref="G33"/>
    </sheetView>
  </sheetViews>
  <sheetFormatPr defaultRowHeight="15"/>
  <cols>
    <col min="1" max="1" width="16.140625" customWidth="1"/>
    <col min="2" max="2" width="11.85546875" customWidth="1"/>
    <col min="3" max="3" width="9.7109375" customWidth="1"/>
    <col min="4" max="4" width="11.140625" customWidth="1"/>
    <col min="5" max="5" width="9" customWidth="1"/>
    <col min="6" max="6" width="10.5703125" customWidth="1"/>
    <col min="7" max="7" width="10" customWidth="1"/>
    <col min="8" max="8" width="8" customWidth="1"/>
    <col min="9" max="9" width="0.140625" customWidth="1"/>
    <col min="10" max="10" width="8.7109375" customWidth="1"/>
  </cols>
  <sheetData>
    <row r="1" spans="1:10" ht="15" customHeight="1">
      <c r="A1" s="24"/>
      <c r="B1" s="25"/>
      <c r="C1" s="25"/>
      <c r="D1" s="25"/>
      <c r="E1" s="25"/>
      <c r="F1" s="25"/>
      <c r="G1" s="25"/>
      <c r="H1" s="25"/>
      <c r="I1" s="25"/>
      <c r="J1" s="25"/>
    </row>
    <row r="2" spans="1:10">
      <c r="A2" s="25"/>
      <c r="B2" s="25"/>
      <c r="C2" s="25"/>
      <c r="D2" s="25"/>
      <c r="E2" s="25"/>
      <c r="F2" s="25"/>
      <c r="G2" s="25"/>
      <c r="H2" s="25"/>
      <c r="I2" s="25"/>
      <c r="J2" s="25"/>
    </row>
    <row r="3" spans="1:10">
      <c r="I3" s="1"/>
      <c r="J3" s="1"/>
    </row>
    <row r="4" spans="1:10">
      <c r="I4" s="2"/>
      <c r="J4" s="2"/>
    </row>
    <row r="8" spans="1:10" ht="18.75">
      <c r="A8" s="7" t="s">
        <v>0</v>
      </c>
      <c r="B8" s="4"/>
      <c r="C8" s="4"/>
      <c r="D8" s="4"/>
      <c r="E8" s="4"/>
      <c r="F8" s="4"/>
      <c r="G8" s="4"/>
      <c r="H8" s="1"/>
    </row>
    <row r="9" spans="1:10" ht="18.75">
      <c r="A9" s="3" t="s">
        <v>1</v>
      </c>
      <c r="B9" s="5"/>
      <c r="C9" s="5"/>
      <c r="D9" s="5"/>
      <c r="E9" s="5"/>
      <c r="F9" s="5"/>
      <c r="G9" s="5"/>
      <c r="H9" s="2"/>
    </row>
    <row r="10" spans="1:10" ht="18.75">
      <c r="A10" s="3" t="s">
        <v>2</v>
      </c>
      <c r="B10" s="6"/>
      <c r="C10" s="6"/>
      <c r="D10" s="6"/>
      <c r="E10" s="6"/>
      <c r="F10" s="6"/>
      <c r="G10" s="6"/>
    </row>
    <row r="11" spans="1:10" ht="18.75">
      <c r="A11" s="3" t="s">
        <v>3</v>
      </c>
      <c r="B11" s="6"/>
      <c r="C11" s="6"/>
      <c r="D11" s="6"/>
      <c r="E11" s="6"/>
      <c r="F11" s="6"/>
      <c r="G11" s="6"/>
    </row>
    <row r="12" spans="1:10" ht="18.75">
      <c r="A12" s="3" t="s">
        <v>4</v>
      </c>
      <c r="B12" s="6"/>
      <c r="C12" s="6"/>
      <c r="D12" s="6"/>
      <c r="E12" s="6"/>
      <c r="F12" s="6"/>
      <c r="G12" s="6"/>
    </row>
    <row r="14" spans="1:10" ht="18.75">
      <c r="A14" s="7" t="s">
        <v>5</v>
      </c>
    </row>
    <row r="16" spans="1:10" ht="18.75">
      <c r="A16" s="3" t="s">
        <v>6</v>
      </c>
      <c r="B16" s="5"/>
      <c r="C16" s="5"/>
      <c r="D16" s="5"/>
      <c r="E16" s="5"/>
      <c r="F16" s="5"/>
      <c r="G16" s="5"/>
    </row>
    <row r="17" spans="1:9" ht="18.75">
      <c r="A17" s="5" t="s">
        <v>7</v>
      </c>
      <c r="B17" s="5"/>
      <c r="C17" s="5"/>
      <c r="D17" s="5"/>
      <c r="E17" s="5"/>
      <c r="F17" s="5"/>
      <c r="G17" s="5"/>
    </row>
    <row r="18" spans="1:9" ht="18.75" customHeight="1"/>
    <row r="19" spans="1:9" ht="18.75" customHeight="1">
      <c r="A19" s="3" t="s">
        <v>9</v>
      </c>
    </row>
    <row r="20" spans="1:9" ht="18.75">
      <c r="A20" s="3" t="s">
        <v>8</v>
      </c>
      <c r="B20" s="6"/>
      <c r="C20" s="6"/>
      <c r="D20" s="6"/>
      <c r="E20" s="6"/>
    </row>
    <row r="23" spans="1:9" ht="15.75" thickBot="1">
      <c r="A23" s="10" t="s">
        <v>10</v>
      </c>
      <c r="B23" s="10" t="s">
        <v>22</v>
      </c>
      <c r="C23" s="10" t="s">
        <v>24</v>
      </c>
      <c r="D23" s="10"/>
      <c r="E23" s="10" t="s">
        <v>23</v>
      </c>
      <c r="F23" s="10" t="s">
        <v>22</v>
      </c>
      <c r="G23" s="10" t="s">
        <v>49</v>
      </c>
      <c r="H23" s="10" t="s">
        <v>27</v>
      </c>
      <c r="I23" s="26"/>
    </row>
    <row r="24" spans="1:9" ht="16.5" thickTop="1" thickBot="1">
      <c r="A24" s="10"/>
      <c r="B24" s="10"/>
      <c r="C24" s="10" t="s">
        <v>12</v>
      </c>
      <c r="D24" s="10" t="s">
        <v>12</v>
      </c>
      <c r="E24" s="10" t="s">
        <v>13</v>
      </c>
      <c r="F24" s="10" t="s">
        <v>13</v>
      </c>
      <c r="G24" s="10" t="s">
        <v>14</v>
      </c>
      <c r="H24" s="10" t="s">
        <v>11</v>
      </c>
      <c r="I24" s="26"/>
    </row>
    <row r="25" spans="1:9" ht="16.5" thickTop="1" thickBot="1">
      <c r="A25" s="9"/>
      <c r="B25" s="9"/>
      <c r="C25" s="9"/>
      <c r="D25" s="9"/>
      <c r="E25" s="9"/>
      <c r="F25" s="9"/>
      <c r="G25" s="9"/>
      <c r="H25" s="31">
        <f>SUM(B25:G25)</f>
        <v>0</v>
      </c>
    </row>
    <row r="26" spans="1:9" ht="16.5" thickTop="1" thickBot="1">
      <c r="A26" s="9" t="s">
        <v>15</v>
      </c>
      <c r="B26" s="12">
        <v>1000</v>
      </c>
      <c r="C26" s="13">
        <v>0.01</v>
      </c>
      <c r="D26" s="12">
        <v>10</v>
      </c>
      <c r="E26" s="13">
        <v>0.02</v>
      </c>
      <c r="F26" s="12">
        <v>20</v>
      </c>
      <c r="G26" s="12">
        <f t="shared" ref="G26:G31" si="0">SUM(D26+F26)</f>
        <v>30</v>
      </c>
      <c r="H26" s="12">
        <f>SUM(B26-F26)</f>
        <v>980</v>
      </c>
    </row>
    <row r="27" spans="1:9" ht="16.5" thickTop="1" thickBot="1">
      <c r="A27" s="9" t="s">
        <v>16</v>
      </c>
      <c r="B27" s="12">
        <f t="shared" ref="B27:B32" si="1">AVERAGE(H26)</f>
        <v>980</v>
      </c>
      <c r="C27" s="13">
        <v>0.01</v>
      </c>
      <c r="D27" s="12">
        <v>9.8000000000000007</v>
      </c>
      <c r="E27" s="13">
        <v>0.02</v>
      </c>
      <c r="F27" s="12">
        <v>19.600000000000001</v>
      </c>
      <c r="G27" s="12">
        <f t="shared" si="0"/>
        <v>29.400000000000002</v>
      </c>
      <c r="H27" s="12">
        <f>SUM(B27-F27)</f>
        <v>960.4</v>
      </c>
    </row>
    <row r="28" spans="1:9" ht="16.5" thickTop="1" thickBot="1">
      <c r="A28" s="9" t="s">
        <v>17</v>
      </c>
      <c r="B28" s="12">
        <f t="shared" si="1"/>
        <v>960.4</v>
      </c>
      <c r="C28" s="13">
        <v>0.01</v>
      </c>
      <c r="D28" s="12">
        <v>9.6039999999999992</v>
      </c>
      <c r="E28" s="13">
        <v>0.02</v>
      </c>
      <c r="F28" s="12">
        <v>19.207999999999998</v>
      </c>
      <c r="G28" s="12">
        <f t="shared" si="0"/>
        <v>28.811999999999998</v>
      </c>
      <c r="H28" s="12">
        <f>SUM(B28-F28)</f>
        <v>941.19200000000001</v>
      </c>
    </row>
    <row r="29" spans="1:9" ht="16.5" thickTop="1" thickBot="1">
      <c r="A29" s="9" t="s">
        <v>18</v>
      </c>
      <c r="B29" s="12">
        <f t="shared" si="1"/>
        <v>941.19200000000001</v>
      </c>
      <c r="C29" s="13">
        <v>0.01</v>
      </c>
      <c r="D29" s="12">
        <v>9.4118999999999993</v>
      </c>
      <c r="E29" s="13">
        <v>0.02</v>
      </c>
      <c r="F29" s="12">
        <v>18.823799999999999</v>
      </c>
      <c r="G29" s="12">
        <f t="shared" si="0"/>
        <v>28.235699999999998</v>
      </c>
      <c r="H29" s="14">
        <f>SUM(B29-F29)</f>
        <v>922.3682</v>
      </c>
    </row>
    <row r="30" spans="1:9" ht="16.5" thickTop="1" thickBot="1">
      <c r="A30" s="9" t="s">
        <v>19</v>
      </c>
      <c r="B30" s="12">
        <f t="shared" si="1"/>
        <v>922.3682</v>
      </c>
      <c r="C30" s="13">
        <v>0.01</v>
      </c>
      <c r="D30" s="12">
        <v>9.2236999999999991</v>
      </c>
      <c r="E30" s="13">
        <v>0.02</v>
      </c>
      <c r="F30" s="12">
        <v>18.447399999999998</v>
      </c>
      <c r="G30" s="12">
        <f t="shared" si="0"/>
        <v>27.671099999999996</v>
      </c>
      <c r="H30" s="14">
        <f>SUM(B30-F30)</f>
        <v>903.92079999999999</v>
      </c>
    </row>
    <row r="31" spans="1:9" ht="16.5" thickTop="1" thickBot="1">
      <c r="A31" s="9" t="s">
        <v>20</v>
      </c>
      <c r="B31" s="12">
        <f t="shared" si="1"/>
        <v>903.92079999999999</v>
      </c>
      <c r="C31" s="13">
        <v>0.01</v>
      </c>
      <c r="D31" s="12">
        <v>9.0391999999999992</v>
      </c>
      <c r="E31" s="13">
        <v>0.02</v>
      </c>
      <c r="F31" s="12">
        <v>19.000800000000002</v>
      </c>
      <c r="G31" s="12">
        <f t="shared" si="0"/>
        <v>28.04</v>
      </c>
      <c r="H31" s="14">
        <f>SUM(B31-F31)</f>
        <v>884.92</v>
      </c>
    </row>
    <row r="32" spans="1:9" ht="16.5" thickTop="1" thickBot="1">
      <c r="A32" s="11" t="s">
        <v>21</v>
      </c>
      <c r="B32" s="12">
        <v>1000</v>
      </c>
      <c r="C32" s="13">
        <f>SUM(C26:C31)</f>
        <v>6.0000000000000005E-2</v>
      </c>
      <c r="D32" s="11">
        <f>SUM(D26:D31)</f>
        <v>57.078800000000001</v>
      </c>
      <c r="E32" s="65">
        <v>0.02</v>
      </c>
      <c r="F32" s="11">
        <f>SUM(F26:F31)</f>
        <v>115.08</v>
      </c>
      <c r="G32" s="52">
        <f>SUM(G26:G31)</f>
        <v>172.15879999999999</v>
      </c>
      <c r="H32" s="52">
        <f>SUM(B32-F32)</f>
        <v>884.92</v>
      </c>
    </row>
    <row r="33" spans="1:9" ht="16.5" thickTop="1" thickBot="1">
      <c r="A33" s="11" t="s">
        <v>58</v>
      </c>
      <c r="B33" s="12">
        <v>1000</v>
      </c>
      <c r="C33" s="13">
        <v>0.5</v>
      </c>
      <c r="D33" s="12">
        <v>500</v>
      </c>
      <c r="E33" s="65">
        <v>1</v>
      </c>
      <c r="F33" s="12">
        <v>1000</v>
      </c>
      <c r="G33" s="52">
        <f>SUM(D33+F33)</f>
        <v>1500</v>
      </c>
      <c r="H33" s="52">
        <f>SUM(B33-F33)</f>
        <v>0</v>
      </c>
    </row>
    <row r="34" spans="1:9" ht="16.5" thickTop="1" thickBot="1">
      <c r="A34" s="51" t="s">
        <v>54</v>
      </c>
      <c r="B34" s="72">
        <f>SUM(D32/G32)</f>
        <v>0.33154738532099437</v>
      </c>
      <c r="C34" s="23"/>
      <c r="D34" s="23"/>
      <c r="E34" s="23"/>
      <c r="F34" s="23"/>
      <c r="G34" s="23"/>
      <c r="H34" s="11"/>
    </row>
    <row r="35" spans="1:9" ht="16.5" thickTop="1" thickBot="1">
      <c r="A35" s="23" t="s">
        <v>55</v>
      </c>
      <c r="B35" s="63">
        <f>SUM(F32/G32)</f>
        <v>0.66845261467900574</v>
      </c>
      <c r="C35" s="23"/>
      <c r="D35" s="23"/>
      <c r="E35" s="23"/>
      <c r="F35" s="70" t="s">
        <v>57</v>
      </c>
      <c r="G35" s="54"/>
      <c r="H35" s="48">
        <f>SUM(B34+B35)</f>
        <v>1</v>
      </c>
    </row>
    <row r="36" spans="1:9" ht="15.75" thickTop="1">
      <c r="F36" s="1"/>
      <c r="H36" s="1"/>
    </row>
    <row r="38" spans="1:9" ht="18.75">
      <c r="A38" s="7" t="s">
        <v>31</v>
      </c>
      <c r="B38" s="18"/>
      <c r="C38" s="61">
        <v>884.92</v>
      </c>
      <c r="D38" s="18"/>
      <c r="E38" s="18"/>
      <c r="G38" s="18"/>
    </row>
    <row r="39" spans="1:9" ht="18.75">
      <c r="A39" s="7" t="s">
        <v>28</v>
      </c>
      <c r="B39" s="19"/>
      <c r="C39" s="66">
        <v>115.08</v>
      </c>
      <c r="D39" s="19"/>
      <c r="E39" s="19"/>
      <c r="G39" s="19"/>
    </row>
    <row r="40" spans="1:9" ht="18.75">
      <c r="A40" s="7" t="s">
        <v>29</v>
      </c>
      <c r="B40" s="19"/>
      <c r="C40" s="61">
        <v>172.62</v>
      </c>
      <c r="D40" s="19"/>
      <c r="E40" s="19"/>
      <c r="G40" s="19"/>
    </row>
    <row r="41" spans="1:9" ht="18.75">
      <c r="A41" s="7" t="s">
        <v>30</v>
      </c>
      <c r="B41" s="19"/>
      <c r="C41" s="19"/>
      <c r="D41" s="19"/>
      <c r="E41" s="19"/>
      <c r="G41" s="67">
        <v>0.67</v>
      </c>
    </row>
    <row r="44" spans="1:9" s="6" customFormat="1" ht="18.75"/>
    <row r="45" spans="1:9" s="6" customFormat="1" ht="18.75"/>
    <row r="48" spans="1:9" ht="18.75">
      <c r="A48" s="3" t="s">
        <v>26</v>
      </c>
      <c r="B48" s="6"/>
      <c r="C48" s="6"/>
      <c r="D48" s="6"/>
      <c r="E48" s="6"/>
      <c r="F48" s="6"/>
      <c r="G48" s="6"/>
      <c r="H48" s="6"/>
      <c r="I48" s="6"/>
    </row>
    <row r="49" spans="1:8" ht="18.75">
      <c r="A49" s="3" t="s">
        <v>25</v>
      </c>
      <c r="B49" s="6"/>
      <c r="C49" s="6"/>
      <c r="D49" s="6"/>
      <c r="E49" s="6"/>
      <c r="F49" s="6"/>
      <c r="G49" s="6"/>
      <c r="H49" s="6"/>
    </row>
    <row r="50" spans="1:8" ht="15.75">
      <c r="A50" s="8"/>
    </row>
    <row r="51" spans="1:8" ht="15.75" thickBot="1">
      <c r="A51" s="57" t="s">
        <v>10</v>
      </c>
      <c r="B51" s="57" t="s">
        <v>22</v>
      </c>
      <c r="C51" s="57" t="s">
        <v>24</v>
      </c>
      <c r="D51" s="57" t="s">
        <v>12</v>
      </c>
      <c r="E51" s="57" t="s">
        <v>50</v>
      </c>
      <c r="F51" s="57" t="s">
        <v>13</v>
      </c>
      <c r="G51" s="57" t="s">
        <v>11</v>
      </c>
    </row>
    <row r="52" spans="1:8" ht="16.5" thickTop="1" thickBot="1">
      <c r="A52" s="56"/>
      <c r="B52" s="57"/>
      <c r="C52" s="57" t="s">
        <v>12</v>
      </c>
      <c r="D52" s="57"/>
      <c r="E52" s="57" t="s">
        <v>14</v>
      </c>
      <c r="F52" s="57"/>
      <c r="G52" s="57" t="s">
        <v>13</v>
      </c>
    </row>
    <row r="53" spans="1:8" ht="16.5" thickTop="1" thickBot="1">
      <c r="A53" s="58"/>
      <c r="B53" s="58"/>
      <c r="C53" s="59"/>
      <c r="D53" s="58"/>
      <c r="E53" s="11"/>
      <c r="F53" s="58"/>
      <c r="G53" s="12">
        <f>SUM(B53:E53)</f>
        <v>0</v>
      </c>
    </row>
    <row r="54" spans="1:8" ht="16.5" thickTop="1" thickBot="1">
      <c r="A54" s="11" t="s">
        <v>15</v>
      </c>
      <c r="B54" s="12">
        <v>1000</v>
      </c>
      <c r="C54" s="13">
        <v>0.01</v>
      </c>
      <c r="D54" s="12">
        <v>10</v>
      </c>
      <c r="E54" s="12">
        <v>50</v>
      </c>
      <c r="F54" s="12">
        <f>SUM(-D54+E54)</f>
        <v>40</v>
      </c>
      <c r="G54" s="12">
        <f>SUM(B54-F54)</f>
        <v>960</v>
      </c>
    </row>
    <row r="55" spans="1:8" ht="16.5" thickTop="1" thickBot="1">
      <c r="A55" s="11" t="s">
        <v>16</v>
      </c>
      <c r="B55" s="12">
        <f t="shared" ref="B55:B60" si="2">AVERAGE(G54)</f>
        <v>960</v>
      </c>
      <c r="C55" s="13">
        <v>0.01</v>
      </c>
      <c r="D55" s="12">
        <v>9.6</v>
      </c>
      <c r="E55" s="12">
        <v>50</v>
      </c>
      <c r="F55" s="12">
        <f>SUM(-D55+E55)</f>
        <v>40.4</v>
      </c>
      <c r="G55" s="12">
        <f>SUM(B55-F55)</f>
        <v>919.6</v>
      </c>
    </row>
    <row r="56" spans="1:8" ht="16.5" thickTop="1" thickBot="1">
      <c r="A56" s="11" t="s">
        <v>17</v>
      </c>
      <c r="B56" s="12">
        <f t="shared" si="2"/>
        <v>919.6</v>
      </c>
      <c r="C56" s="13">
        <v>0.01</v>
      </c>
      <c r="D56" s="12">
        <v>9.1999999999999993</v>
      </c>
      <c r="E56" s="12">
        <v>50</v>
      </c>
      <c r="F56" s="12">
        <f>SUM(-D56+E56)</f>
        <v>40.799999999999997</v>
      </c>
      <c r="G56" s="12">
        <f>SUM(B56-F56)</f>
        <v>878.80000000000007</v>
      </c>
    </row>
    <row r="57" spans="1:8" ht="16.5" thickTop="1" thickBot="1">
      <c r="A57" s="11" t="s">
        <v>18</v>
      </c>
      <c r="B57" s="12">
        <f t="shared" si="2"/>
        <v>878.80000000000007</v>
      </c>
      <c r="C57" s="13">
        <v>0.01</v>
      </c>
      <c r="D57" s="12">
        <v>8.7880000000000003</v>
      </c>
      <c r="E57" s="12">
        <v>50</v>
      </c>
      <c r="F57" s="12">
        <f>SUM(-D57+E57)</f>
        <v>41.212000000000003</v>
      </c>
      <c r="G57" s="14">
        <f>SUM(B57-F57)</f>
        <v>837.58800000000008</v>
      </c>
    </row>
    <row r="58" spans="1:8" ht="16.5" thickTop="1" thickBot="1">
      <c r="A58" s="11" t="s">
        <v>19</v>
      </c>
      <c r="B58" s="12">
        <f t="shared" si="2"/>
        <v>837.58800000000008</v>
      </c>
      <c r="C58" s="13">
        <v>0.01</v>
      </c>
      <c r="D58" s="12">
        <v>8.3759999999999994</v>
      </c>
      <c r="E58" s="12">
        <v>50</v>
      </c>
      <c r="F58" s="12">
        <f>SUM(-D58+E58)</f>
        <v>41.624000000000002</v>
      </c>
      <c r="G58" s="14">
        <f>SUM(B58-F58)</f>
        <v>795.96400000000006</v>
      </c>
    </row>
    <row r="59" spans="1:8" ht="16.5" thickTop="1" thickBot="1">
      <c r="A59" s="11" t="s">
        <v>20</v>
      </c>
      <c r="B59" s="12">
        <f t="shared" si="2"/>
        <v>795.96400000000006</v>
      </c>
      <c r="C59" s="13">
        <v>0.01</v>
      </c>
      <c r="D59" s="12">
        <v>7.96</v>
      </c>
      <c r="E59" s="12">
        <v>50</v>
      </c>
      <c r="F59" s="12">
        <f>SUM(-D59+E59)</f>
        <v>42.04</v>
      </c>
      <c r="G59" s="14">
        <f>SUM(B59-F59)</f>
        <v>753.92400000000009</v>
      </c>
    </row>
    <row r="60" spans="1:8" ht="16.5" thickTop="1" thickBot="1">
      <c r="A60" s="11" t="s">
        <v>21</v>
      </c>
      <c r="B60" s="12">
        <v>1000</v>
      </c>
      <c r="C60" s="13">
        <f>SUM(C54:C59)</f>
        <v>6.0000000000000005E-2</v>
      </c>
      <c r="D60" s="11">
        <f>SUM(D54:D59)</f>
        <v>53.923999999999999</v>
      </c>
      <c r="E60" s="11">
        <f>SUM(E54:E59)</f>
        <v>300</v>
      </c>
      <c r="F60" s="11">
        <f>SUM(F54:F59)</f>
        <v>246.07599999999999</v>
      </c>
      <c r="G60" s="52">
        <f>SUM(B60-F60)</f>
        <v>753.92399999999998</v>
      </c>
    </row>
    <row r="61" spans="1:8" ht="16.5" thickTop="1" thickBot="1">
      <c r="A61" s="51" t="s">
        <v>54</v>
      </c>
      <c r="B61" s="9">
        <f>SUM(D60/E60)</f>
        <v>0.17974666666666667</v>
      </c>
      <c r="C61" s="23"/>
      <c r="D61" s="23"/>
      <c r="E61" s="23"/>
      <c r="F61" s="23"/>
      <c r="G61" s="23"/>
    </row>
    <row r="62" spans="1:8" ht="16.5" thickTop="1" thickBot="1">
      <c r="A62" s="23" t="s">
        <v>55</v>
      </c>
      <c r="B62" s="60">
        <f>SUM(F60/E60)</f>
        <v>0.82025333333333328</v>
      </c>
      <c r="C62" s="23"/>
      <c r="D62" s="23"/>
      <c r="E62" s="70" t="s">
        <v>57</v>
      </c>
      <c r="F62" s="54"/>
      <c r="G62" s="48">
        <f>SUM(B61+B62)</f>
        <v>1</v>
      </c>
      <c r="H62" s="17"/>
    </row>
    <row r="63" spans="1:8" ht="15.75" thickTop="1"/>
    <row r="65" spans="1:7" ht="18.75">
      <c r="A65" s="7" t="s">
        <v>31</v>
      </c>
      <c r="B65" s="18"/>
      <c r="C65" s="61">
        <v>753.92</v>
      </c>
      <c r="D65" s="18"/>
      <c r="E65" s="18"/>
      <c r="F65" s="18"/>
      <c r="G65" s="18"/>
    </row>
    <row r="66" spans="1:7" ht="18.75">
      <c r="A66" s="7" t="s">
        <v>28</v>
      </c>
      <c r="B66" s="19"/>
      <c r="C66" s="62">
        <v>246.08</v>
      </c>
      <c r="D66" s="19"/>
      <c r="E66" s="19"/>
      <c r="F66" s="19"/>
      <c r="G66" s="19"/>
    </row>
    <row r="67" spans="1:7" ht="18.75">
      <c r="A67" s="7" t="s">
        <v>29</v>
      </c>
      <c r="B67" s="19"/>
      <c r="C67" s="62">
        <v>300</v>
      </c>
      <c r="D67" s="19"/>
      <c r="E67" s="19"/>
      <c r="F67" s="19"/>
      <c r="G67" s="19"/>
    </row>
    <row r="68" spans="1:7" ht="18.75">
      <c r="A68" s="7" t="s">
        <v>30</v>
      </c>
      <c r="B68" s="19"/>
      <c r="C68" s="19"/>
      <c r="D68" s="19"/>
      <c r="E68" s="19"/>
      <c r="F68" s="19"/>
      <c r="G68" s="64">
        <v>0.82025329999999996</v>
      </c>
    </row>
    <row r="76" spans="1:7">
      <c r="B76" s="74"/>
    </row>
    <row r="90" spans="1:8" ht="18.75">
      <c r="A90" s="3" t="s">
        <v>53</v>
      </c>
    </row>
    <row r="91" spans="1:8" ht="18.75">
      <c r="A91" s="3" t="s">
        <v>8</v>
      </c>
    </row>
    <row r="92" spans="1:8" ht="16.5" thickBot="1">
      <c r="A92" s="8"/>
    </row>
    <row r="93" spans="1:8" ht="16.5" thickTop="1" thickBot="1">
      <c r="A93" s="38" t="s">
        <v>10</v>
      </c>
      <c r="B93" s="38" t="s">
        <v>22</v>
      </c>
      <c r="C93" s="38" t="s">
        <v>24</v>
      </c>
      <c r="D93" s="38" t="s">
        <v>12</v>
      </c>
      <c r="E93" s="38" t="s">
        <v>24</v>
      </c>
      <c r="F93" s="38" t="s">
        <v>22</v>
      </c>
      <c r="G93" s="38" t="s">
        <v>50</v>
      </c>
      <c r="H93" s="39" t="s">
        <v>11</v>
      </c>
    </row>
    <row r="94" spans="1:8" ht="16.5" thickTop="1" thickBot="1">
      <c r="A94" s="38"/>
      <c r="B94" s="38"/>
      <c r="C94" s="38" t="s">
        <v>12</v>
      </c>
      <c r="D94" s="38"/>
      <c r="E94" s="38" t="s">
        <v>13</v>
      </c>
      <c r="F94" s="38" t="s">
        <v>13</v>
      </c>
      <c r="G94" s="38" t="s">
        <v>14</v>
      </c>
      <c r="H94" s="39" t="s">
        <v>13</v>
      </c>
    </row>
    <row r="95" spans="1:8" ht="16.5" thickTop="1" thickBot="1">
      <c r="A95" s="40"/>
      <c r="B95" s="40"/>
      <c r="C95" s="40"/>
      <c r="D95" s="40"/>
      <c r="E95" s="40"/>
      <c r="F95" s="40"/>
      <c r="G95" s="40"/>
      <c r="H95" s="41"/>
    </row>
    <row r="96" spans="1:8" ht="16.5" thickTop="1" thickBot="1">
      <c r="A96" s="40" t="s">
        <v>15</v>
      </c>
      <c r="B96" s="42">
        <v>1000</v>
      </c>
      <c r="C96" s="43">
        <v>0.02</v>
      </c>
      <c r="D96" s="42">
        <v>20</v>
      </c>
      <c r="E96" s="43">
        <v>0.02</v>
      </c>
      <c r="F96" s="42">
        <v>20</v>
      </c>
      <c r="G96" s="42">
        <f t="shared" ref="G96:G101" si="3">SUM(D96+F96)</f>
        <v>40</v>
      </c>
      <c r="H96" s="42">
        <v>980</v>
      </c>
    </row>
    <row r="97" spans="1:9" ht="16.5" thickTop="1" thickBot="1">
      <c r="A97" s="40" t="s">
        <v>16</v>
      </c>
      <c r="B97" s="42">
        <f t="shared" ref="B97:B102" si="4">AVERAGE(H96)</f>
        <v>980</v>
      </c>
      <c r="C97" s="43">
        <v>0.02</v>
      </c>
      <c r="D97" s="42">
        <v>19.600000000000001</v>
      </c>
      <c r="E97" s="43">
        <v>0.02</v>
      </c>
      <c r="F97" s="42">
        <v>19.600000000000001</v>
      </c>
      <c r="G97" s="42">
        <f t="shared" si="3"/>
        <v>39.200000000000003</v>
      </c>
      <c r="H97" s="42">
        <f>SUM(B97-F97)</f>
        <v>960.4</v>
      </c>
    </row>
    <row r="98" spans="1:9" ht="16.5" thickTop="1" thickBot="1">
      <c r="A98" s="40" t="s">
        <v>17</v>
      </c>
      <c r="B98" s="42">
        <f t="shared" si="4"/>
        <v>960.4</v>
      </c>
      <c r="C98" s="43">
        <v>0.02</v>
      </c>
      <c r="D98" s="42">
        <v>19.207999999999998</v>
      </c>
      <c r="E98" s="43">
        <v>0.02</v>
      </c>
      <c r="F98" s="42">
        <v>19.207999999999998</v>
      </c>
      <c r="G98" s="42">
        <f t="shared" si="3"/>
        <v>38.415999999999997</v>
      </c>
      <c r="H98" s="42">
        <f>SUM(B98-F98)</f>
        <v>941.19200000000001</v>
      </c>
    </row>
    <row r="99" spans="1:9" ht="16.5" thickTop="1" thickBot="1">
      <c r="A99" s="40" t="s">
        <v>18</v>
      </c>
      <c r="B99" s="42">
        <f t="shared" si="4"/>
        <v>941.19200000000001</v>
      </c>
      <c r="C99" s="43">
        <v>0.02</v>
      </c>
      <c r="D99" s="42">
        <v>18.823799999999999</v>
      </c>
      <c r="E99" s="43">
        <v>0.02</v>
      </c>
      <c r="F99" s="42">
        <v>18.823799999999999</v>
      </c>
      <c r="G99" s="42">
        <f t="shared" si="3"/>
        <v>37.647599999999997</v>
      </c>
      <c r="H99" s="44">
        <f>SUM(B99-F99)</f>
        <v>922.3682</v>
      </c>
    </row>
    <row r="100" spans="1:9" ht="16.5" thickTop="1" thickBot="1">
      <c r="A100" s="40" t="s">
        <v>19</v>
      </c>
      <c r="B100" s="42">
        <f t="shared" si="4"/>
        <v>922.3682</v>
      </c>
      <c r="C100" s="43">
        <v>0.02</v>
      </c>
      <c r="D100" s="42">
        <v>18.447399999999998</v>
      </c>
      <c r="E100" s="43">
        <v>0.02</v>
      </c>
      <c r="F100" s="42">
        <v>18.447399999999998</v>
      </c>
      <c r="G100" s="42">
        <f t="shared" si="3"/>
        <v>36.894799999999996</v>
      </c>
      <c r="H100" s="44">
        <f>SUM(B100-F100)</f>
        <v>903.92079999999999</v>
      </c>
    </row>
    <row r="101" spans="1:9" ht="16.5" thickTop="1" thickBot="1">
      <c r="A101" s="40" t="s">
        <v>20</v>
      </c>
      <c r="B101" s="42">
        <f t="shared" si="4"/>
        <v>903.92079999999999</v>
      </c>
      <c r="C101" s="43">
        <v>0.02</v>
      </c>
      <c r="D101" s="42">
        <v>18.078399999999998</v>
      </c>
      <c r="E101" s="43">
        <v>0.02</v>
      </c>
      <c r="F101" s="42">
        <v>18.078399999999998</v>
      </c>
      <c r="G101" s="42">
        <f t="shared" si="3"/>
        <v>36.156799999999997</v>
      </c>
      <c r="H101" s="44">
        <f>SUM(B101-F101)</f>
        <v>885.8424</v>
      </c>
    </row>
    <row r="102" spans="1:9" ht="16.5" thickTop="1" thickBot="1">
      <c r="A102" s="40" t="s">
        <v>21</v>
      </c>
      <c r="B102" s="42">
        <v>1000</v>
      </c>
      <c r="C102" s="43">
        <f>SUM(C96:C101)</f>
        <v>0.12000000000000001</v>
      </c>
      <c r="D102" s="45">
        <f>SUM(D96:D101)</f>
        <v>114.1576</v>
      </c>
      <c r="E102" s="43">
        <f>SUM(E96:E101)</f>
        <v>0.12000000000000001</v>
      </c>
      <c r="F102" s="45">
        <f>SUM(F96:F101)</f>
        <v>114.1576</v>
      </c>
      <c r="G102" s="45">
        <f>SUM(G96:G101)</f>
        <v>228.3152</v>
      </c>
      <c r="H102" s="68">
        <f>SUM(B102-F102)</f>
        <v>885.8424</v>
      </c>
    </row>
    <row r="103" spans="1:9" ht="16.5" thickTop="1" thickBot="1">
      <c r="A103" s="11" t="s">
        <v>21</v>
      </c>
      <c r="B103" s="12">
        <v>1000</v>
      </c>
      <c r="C103" s="13">
        <v>1</v>
      </c>
      <c r="D103" s="12">
        <v>1000</v>
      </c>
      <c r="E103" s="65">
        <v>1</v>
      </c>
      <c r="F103" s="12">
        <v>1000</v>
      </c>
      <c r="G103" s="52">
        <f>SUM(D103+F103)</f>
        <v>2000</v>
      </c>
      <c r="H103" s="52">
        <f>SUM(B103-F103)</f>
        <v>0</v>
      </c>
    </row>
    <row r="104" spans="1:9" ht="16.5" thickTop="1" thickBot="1">
      <c r="A104" s="51" t="s">
        <v>54</v>
      </c>
      <c r="B104" s="63">
        <f>SUM(D102/G102)</f>
        <v>0.5</v>
      </c>
      <c r="C104" s="48"/>
      <c r="D104" s="11"/>
      <c r="E104" s="48"/>
      <c r="F104" s="11"/>
      <c r="G104" s="11"/>
      <c r="H104" s="53"/>
      <c r="I104" s="17"/>
    </row>
    <row r="105" spans="1:9" ht="16.5" thickTop="1" thickBot="1">
      <c r="A105" s="51" t="s">
        <v>55</v>
      </c>
      <c r="B105" s="72">
        <f>SUM(F102/G102)</f>
        <v>0.5</v>
      </c>
      <c r="C105" s="23"/>
      <c r="D105" s="23"/>
      <c r="E105" s="23"/>
      <c r="F105" s="71" t="s">
        <v>57</v>
      </c>
      <c r="G105" s="23"/>
      <c r="H105" s="63">
        <f>SUM(B104+B105)</f>
        <v>1</v>
      </c>
    </row>
    <row r="106" spans="1:9" ht="15.75" thickTop="1"/>
    <row r="107" spans="1:9" ht="18.75">
      <c r="A107" s="7" t="s">
        <v>31</v>
      </c>
      <c r="B107" s="18"/>
      <c r="C107" s="66">
        <v>885.84</v>
      </c>
      <c r="D107" s="18"/>
      <c r="E107" s="18"/>
      <c r="F107" s="18"/>
      <c r="G107" s="18"/>
    </row>
    <row r="108" spans="1:9" ht="18.75">
      <c r="A108" s="7" t="s">
        <v>28</v>
      </c>
      <c r="B108" s="19"/>
      <c r="C108" s="66">
        <v>114.16</v>
      </c>
      <c r="D108" s="19"/>
      <c r="E108" s="19"/>
      <c r="F108" s="19"/>
      <c r="G108" s="19"/>
    </row>
    <row r="109" spans="1:9" ht="18.75">
      <c r="A109" s="7" t="s">
        <v>29</v>
      </c>
      <c r="B109" s="19"/>
      <c r="C109" s="66">
        <v>228.32</v>
      </c>
      <c r="D109" s="19"/>
      <c r="E109" s="19"/>
      <c r="F109" s="19"/>
      <c r="G109" s="19"/>
    </row>
    <row r="110" spans="1:9" ht="18.75">
      <c r="A110" s="7" t="s">
        <v>30</v>
      </c>
      <c r="B110" s="19"/>
      <c r="C110" s="19"/>
      <c r="D110" s="19"/>
      <c r="E110" s="19"/>
      <c r="F110" s="19"/>
      <c r="G110" s="73">
        <v>0.5</v>
      </c>
    </row>
    <row r="123" spans="3:8">
      <c r="C123" s="20"/>
      <c r="D123" s="20"/>
      <c r="E123" s="21"/>
      <c r="F123" s="21"/>
      <c r="G123" s="21"/>
      <c r="H123" s="21"/>
    </row>
    <row r="134" spans="1:7" ht="15.75">
      <c r="A134" s="16"/>
    </row>
    <row r="135" spans="1:7">
      <c r="A135" s="15"/>
    </row>
    <row r="138" spans="1:7" ht="18.75">
      <c r="A138" s="7" t="s">
        <v>32</v>
      </c>
      <c r="B138" s="19"/>
      <c r="C138" s="19"/>
      <c r="D138" s="19"/>
      <c r="E138" s="19"/>
      <c r="F138" s="19"/>
      <c r="G138" s="19"/>
    </row>
    <row r="139" spans="1:7" ht="18.75">
      <c r="A139" s="7" t="s">
        <v>33</v>
      </c>
      <c r="B139" s="19"/>
      <c r="C139" s="19"/>
      <c r="D139" s="19"/>
      <c r="E139" s="19"/>
      <c r="F139" s="19"/>
      <c r="G139" s="19"/>
    </row>
    <row r="140" spans="1:7" ht="18.75">
      <c r="A140" s="7" t="s">
        <v>34</v>
      </c>
      <c r="B140" s="19"/>
      <c r="C140" s="19"/>
      <c r="D140" s="19"/>
      <c r="E140" s="19"/>
      <c r="F140" s="19"/>
      <c r="G140" s="19"/>
    </row>
    <row r="141" spans="1:7" ht="15.75">
      <c r="A141" s="8"/>
    </row>
    <row r="143" spans="1:7" ht="15.75" thickBot="1">
      <c r="B143" s="46" t="s">
        <v>39</v>
      </c>
      <c r="C143" s="46" t="s">
        <v>22</v>
      </c>
      <c r="D143" s="46" t="s">
        <v>51</v>
      </c>
      <c r="E143" s="46" t="s">
        <v>12</v>
      </c>
      <c r="F143" s="46" t="s">
        <v>56</v>
      </c>
      <c r="G143" s="46" t="s">
        <v>12</v>
      </c>
    </row>
    <row r="144" spans="1:7" ht="16.5" thickTop="1" thickBot="1">
      <c r="B144" s="46"/>
      <c r="C144" s="46"/>
      <c r="D144" s="46"/>
      <c r="E144" s="46"/>
      <c r="F144" s="38" t="s">
        <v>27</v>
      </c>
      <c r="G144" s="38" t="s">
        <v>52</v>
      </c>
    </row>
    <row r="145" spans="2:7" ht="16.5" thickTop="1" thickBot="1">
      <c r="B145" s="45"/>
      <c r="C145" s="45"/>
      <c r="D145" s="45"/>
      <c r="E145" s="45"/>
      <c r="F145" s="41"/>
      <c r="G145" s="41"/>
    </row>
    <row r="146" spans="2:7" ht="16.5" thickTop="1" thickBot="1">
      <c r="B146" s="45" t="s">
        <v>35</v>
      </c>
      <c r="C146" s="42">
        <v>1000</v>
      </c>
      <c r="D146" s="49">
        <v>4.1669999999999997E-3</v>
      </c>
      <c r="E146" s="47">
        <v>1.004167</v>
      </c>
      <c r="F146" s="42">
        <f>SUM(C146*E146)</f>
        <v>1004.167</v>
      </c>
      <c r="G146" s="45">
        <f>SUM(F146-C146)</f>
        <v>4.16700000000003</v>
      </c>
    </row>
    <row r="147" spans="2:7" ht="16.5" thickTop="1" thickBot="1">
      <c r="B147" s="45" t="s">
        <v>36</v>
      </c>
      <c r="C147" s="42">
        <v>1000</v>
      </c>
      <c r="D147" s="43">
        <v>0.05</v>
      </c>
      <c r="E147" s="47">
        <v>1.2833842390000001</v>
      </c>
      <c r="F147" s="42">
        <f>SUM(C147*E147)</f>
        <v>1283.384239</v>
      </c>
      <c r="G147" s="45">
        <f>SUM((5*12)*G146)</f>
        <v>250.0200000000018</v>
      </c>
    </row>
    <row r="148" spans="2:7" ht="15.75" thickTop="1"/>
    <row r="183" spans="1:7" ht="15.75">
      <c r="A183" s="35" t="s">
        <v>40</v>
      </c>
      <c r="B183" s="29"/>
      <c r="C183" s="29"/>
      <c r="D183" s="29"/>
      <c r="E183" s="29"/>
      <c r="F183" s="29"/>
    </row>
    <row r="185" spans="1:7" ht="15.75">
      <c r="A185" s="33" t="s">
        <v>44</v>
      </c>
      <c r="B185" s="34"/>
      <c r="C185" s="34"/>
      <c r="D185" s="34"/>
      <c r="E185" s="34"/>
      <c r="F185" s="34"/>
    </row>
    <row r="186" spans="1:7" ht="15.75">
      <c r="A186" s="33" t="s">
        <v>41</v>
      </c>
      <c r="B186" s="34"/>
      <c r="C186" s="34"/>
      <c r="D186" s="34"/>
      <c r="E186" s="34"/>
      <c r="F186" s="34"/>
    </row>
    <row r="187" spans="1:7" ht="15.75">
      <c r="A187" s="33" t="s">
        <v>42</v>
      </c>
      <c r="B187" s="34"/>
      <c r="C187" s="34"/>
      <c r="D187" s="34"/>
      <c r="E187" s="34"/>
      <c r="F187" s="34"/>
    </row>
    <row r="188" spans="1:7" ht="15.75">
      <c r="A188" s="33"/>
      <c r="B188" s="34"/>
      <c r="C188" s="34"/>
      <c r="D188" s="34"/>
      <c r="E188" s="34"/>
      <c r="F188" s="34"/>
    </row>
    <row r="189" spans="1:7" ht="15.75">
      <c r="A189" s="33" t="s">
        <v>43</v>
      </c>
      <c r="B189" s="34"/>
      <c r="C189" s="34"/>
      <c r="D189" s="34"/>
      <c r="E189" s="34"/>
      <c r="F189" s="34"/>
    </row>
    <row r="191" spans="1:7" ht="15.75" thickBot="1"/>
    <row r="192" spans="1:7" ht="16.5" thickTop="1" thickBot="1">
      <c r="B192" s="32" t="s">
        <v>35</v>
      </c>
      <c r="C192" s="32" t="s">
        <v>22</v>
      </c>
      <c r="D192" s="32" t="s">
        <v>12</v>
      </c>
      <c r="E192" s="32" t="s">
        <v>10</v>
      </c>
      <c r="F192" s="32" t="s">
        <v>12</v>
      </c>
      <c r="G192" s="32" t="s">
        <v>35</v>
      </c>
    </row>
    <row r="193" spans="2:7" ht="16.5" thickTop="1" thickBot="1">
      <c r="B193" s="32" t="s">
        <v>38</v>
      </c>
      <c r="C193" s="32"/>
      <c r="D193" s="32" t="s">
        <v>38</v>
      </c>
      <c r="E193" s="32"/>
      <c r="F193" s="32" t="s">
        <v>35</v>
      </c>
      <c r="G193" s="32" t="s">
        <v>14</v>
      </c>
    </row>
    <row r="194" spans="2:7" ht="16.5" thickTop="1" thickBot="1">
      <c r="B194" s="27"/>
      <c r="C194" s="9"/>
      <c r="D194" s="23"/>
      <c r="E194" s="23"/>
      <c r="F194" s="23"/>
      <c r="G194" s="23"/>
    </row>
    <row r="195" spans="2:7" ht="16.5" thickTop="1" thickBot="1">
      <c r="B195" s="30">
        <v>0.03</v>
      </c>
      <c r="C195" s="36">
        <v>5000000</v>
      </c>
      <c r="D195" s="31">
        <v>1.0024999999999999</v>
      </c>
      <c r="E195" s="31">
        <v>540</v>
      </c>
      <c r="F195" s="55">
        <v>1136.531641</v>
      </c>
      <c r="G195" s="69">
        <f>SUM(C195/F195)</f>
        <v>4399.3495822084196</v>
      </c>
    </row>
    <row r="196" spans="2:7" ht="16.5" thickTop="1" thickBot="1">
      <c r="B196" s="30">
        <v>0.06</v>
      </c>
      <c r="C196" s="36">
        <v>5000000</v>
      </c>
      <c r="D196" s="31">
        <v>1.0049999999999999</v>
      </c>
      <c r="E196" s="31">
        <v>540</v>
      </c>
      <c r="F196" s="55">
        <v>2741.2861800000001</v>
      </c>
      <c r="G196" s="69">
        <f>SUM(C196/F196)</f>
        <v>1823.9613348213063</v>
      </c>
    </row>
    <row r="197" spans="2:7" ht="16.5" thickTop="1" thickBot="1">
      <c r="B197" s="30">
        <v>0.09</v>
      </c>
      <c r="C197" s="36">
        <v>5000000</v>
      </c>
      <c r="D197" s="31">
        <v>1.0075000000000001</v>
      </c>
      <c r="E197" s="31">
        <v>540</v>
      </c>
      <c r="F197" s="55">
        <v>7348.7627480000001</v>
      </c>
      <c r="G197" s="69">
        <f>SUM(C197/F197)</f>
        <v>680.3866407798746</v>
      </c>
    </row>
    <row r="198" spans="2:7" ht="16.5" thickTop="1" thickBot="1">
      <c r="B198" s="30">
        <v>0.12</v>
      </c>
      <c r="C198" s="36">
        <v>5000000</v>
      </c>
      <c r="D198" s="31">
        <v>1.01</v>
      </c>
      <c r="E198" s="31">
        <v>540</v>
      </c>
      <c r="F198" s="55">
        <v>21241.28025</v>
      </c>
      <c r="G198" s="69">
        <f>SUM(C198/F198)</f>
        <v>235.39070814717019</v>
      </c>
    </row>
    <row r="199" spans="2:7" ht="15.75" thickTop="1"/>
    <row r="230" spans="1:7" ht="18.75">
      <c r="A230" s="7" t="s">
        <v>45</v>
      </c>
      <c r="B230" s="19"/>
      <c r="C230" s="19"/>
      <c r="D230" s="19"/>
      <c r="E230" s="19"/>
      <c r="F230" s="19"/>
      <c r="G230" s="17"/>
    </row>
    <row r="231" spans="1:7" ht="18.75">
      <c r="A231" s="7" t="s">
        <v>46</v>
      </c>
      <c r="B231" s="19"/>
      <c r="C231" s="19"/>
      <c r="D231" s="19"/>
      <c r="E231" s="19"/>
      <c r="F231" s="19"/>
      <c r="G231" s="17"/>
    </row>
    <row r="232" spans="1:7" ht="18.75">
      <c r="A232" s="7"/>
      <c r="B232" s="19"/>
      <c r="C232" s="19"/>
      <c r="D232" s="19"/>
      <c r="E232" s="19"/>
      <c r="F232" s="19"/>
      <c r="G232" s="17"/>
    </row>
    <row r="233" spans="1:7" ht="18.75">
      <c r="A233" s="7" t="s">
        <v>47</v>
      </c>
      <c r="B233" s="19"/>
      <c r="C233" s="19"/>
      <c r="D233" s="19"/>
      <c r="E233" s="19"/>
      <c r="F233" s="19"/>
      <c r="G233" s="17"/>
    </row>
    <row r="234" spans="1:7" ht="15.75">
      <c r="A234" s="8"/>
    </row>
    <row r="236" spans="1:7" ht="15.75" thickBot="1"/>
    <row r="237" spans="1:7" ht="16.5" thickTop="1" thickBot="1">
      <c r="B237" s="32"/>
      <c r="C237" s="32" t="s">
        <v>22</v>
      </c>
      <c r="D237" s="32" t="s">
        <v>38</v>
      </c>
      <c r="E237" s="32" t="s">
        <v>37</v>
      </c>
      <c r="F237" s="32" t="s">
        <v>12</v>
      </c>
      <c r="G237" s="32" t="s">
        <v>48</v>
      </c>
    </row>
    <row r="238" spans="1:7" ht="16.5" thickTop="1" thickBot="1">
      <c r="B238" s="28"/>
      <c r="C238" s="23"/>
      <c r="D238" s="23"/>
      <c r="E238" s="23"/>
      <c r="F238" s="23"/>
      <c r="G238" s="23"/>
    </row>
    <row r="239" spans="1:7" ht="16.5" thickTop="1" thickBot="1">
      <c r="B239" s="50">
        <v>0.05</v>
      </c>
      <c r="C239" s="36">
        <v>1000</v>
      </c>
      <c r="D239" s="31">
        <v>0.05</v>
      </c>
      <c r="E239" s="31">
        <v>120</v>
      </c>
      <c r="F239" s="37">
        <v>1.6470094980000001</v>
      </c>
      <c r="G239" s="22">
        <f>SUM(C239*F239)</f>
        <v>1647.0094980000001</v>
      </c>
    </row>
    <row r="240" spans="1:7" ht="16.5" thickTop="1" thickBot="1">
      <c r="B240" s="50">
        <v>0.06</v>
      </c>
      <c r="C240" s="36">
        <v>1000</v>
      </c>
      <c r="D240" s="31">
        <v>0.06</v>
      </c>
      <c r="E240" s="31">
        <v>120</v>
      </c>
      <c r="F240" s="31">
        <v>1.8193967339999999</v>
      </c>
      <c r="G240" s="22">
        <f>SUM(C240*F240)</f>
        <v>1819.3967339999999</v>
      </c>
    </row>
    <row r="241" spans="2:7" ht="16.5" thickTop="1" thickBot="1">
      <c r="B241" s="50">
        <v>0.05</v>
      </c>
      <c r="C241" s="36">
        <v>1000</v>
      </c>
      <c r="D241" s="31">
        <v>0.05</v>
      </c>
      <c r="E241" s="31">
        <v>240</v>
      </c>
      <c r="F241" s="31">
        <v>2.7126402860000001</v>
      </c>
      <c r="G241" s="22">
        <f>SUM(C241*F241)</f>
        <v>2712.6402860000003</v>
      </c>
    </row>
    <row r="242" spans="2:7" ht="16.5" thickTop="1" thickBot="1">
      <c r="B242" s="50">
        <v>0.06</v>
      </c>
      <c r="C242" s="36">
        <v>1000</v>
      </c>
      <c r="D242" s="31">
        <v>0.06</v>
      </c>
      <c r="E242" s="31">
        <v>240</v>
      </c>
      <c r="F242" s="31">
        <v>3.310204476</v>
      </c>
      <c r="G242" s="22">
        <f>SUM(C242*F242)</f>
        <v>3310.2044759999999</v>
      </c>
    </row>
    <row r="243" spans="2:7" ht="15.75" thickTop="1"/>
  </sheetData>
  <pageMargins left="0.7" right="0.60927672955974843" top="0.75" bottom="0.75" header="0.3" footer="0.3"/>
  <pageSetup orientation="portrait" r:id="rId1"/>
  <headerFooter differentOddEven="1" differentFirst="1"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2008-12-04T04:35:07Z</dcterms:modified>
</cp:coreProperties>
</file>